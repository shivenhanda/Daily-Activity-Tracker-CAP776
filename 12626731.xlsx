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ED23621A-C2E5-40CA-93FA-EA2621AA1B8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9" i="2" l="1"/>
  <c r="J49" i="2" s="1"/>
  <c r="I43" i="2"/>
  <c r="J43" i="2"/>
  <c r="I44" i="2"/>
  <c r="J44" i="2" s="1"/>
  <c r="I45" i="2"/>
  <c r="J45" i="2"/>
  <c r="I46" i="2"/>
  <c r="J46" i="2" s="1"/>
  <c r="I47" i="2"/>
  <c r="J47" i="2" s="1"/>
  <c r="I48" i="2"/>
  <c r="J48" i="2" s="1"/>
  <c r="I42" i="2"/>
  <c r="J42" i="2" s="1"/>
  <c r="I41" i="2"/>
  <c r="J41" i="2" s="1"/>
  <c r="I40" i="2"/>
  <c r="J40" i="2" s="1"/>
  <c r="I37" i="2"/>
  <c r="J37" i="2" s="1"/>
  <c r="I38" i="2"/>
  <c r="J38" i="2" s="1"/>
  <c r="I39" i="2"/>
  <c r="J39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5" i="2"/>
  <c r="J15" i="2" s="1"/>
  <c r="I16" i="2"/>
  <c r="J16" i="2" s="1"/>
  <c r="I17" i="2"/>
  <c r="J17" i="2" s="1"/>
  <c r="I18" i="2"/>
  <c r="J18" i="2" s="1"/>
  <c r="I14" i="2"/>
  <c r="J14" i="2" s="1"/>
  <c r="I13" i="2"/>
  <c r="J13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6" i="2"/>
  <c r="J6" i="2" l="1"/>
</calcChain>
</file>

<file path=xl/sharedStrings.xml><?xml version="1.0" encoding="utf-8"?>
<sst xmlns="http://schemas.openxmlformats.org/spreadsheetml/2006/main" count="221" uniqueCount="81">
  <si>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</si>
  <si>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</si>
  <si>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</si>
  <si>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</si>
  <si>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</si>
  <si>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</si>
  <si>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</si>
  <si>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</si>
  <si>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</si>
  <si>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</si>
  <si>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</si>
  <si>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</si>
  <si>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</si>
  <si>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</si>
  <si>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</si>
  <si>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</si>
  <si>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</si>
  <si>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</si>
  <si>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</si>
  <si>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</si>
  <si>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</si>
  <si>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</si>
  <si>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</si>
  <si>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</si>
  <si>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</si>
  <si>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</si>
  <si>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</si>
  <si>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</si>
  <si>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</si>
  <si>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</si>
  <si>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</si>
  <si>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</si>
  <si>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</si>
  <si>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</si>
  <si>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</si>
  <si>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</si>
  <si>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</si>
  <si>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</si>
  <si>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</si>
  <si>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</si>
  <si>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</si>
  <si>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</si>
  <si>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</si>
  <si>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</si>
  <si>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</si>
  <si>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</si>
  <si>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</si>
  <si>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</si>
  <si>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</si>
  <si>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</si>
  <si>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</si>
  <si>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</si>
  <si>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</si>
  <si>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</si>
  <si>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</si>
  <si>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</si>
  <si>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</si>
  <si>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</si>
  <si>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</si>
  <si>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</si>
  <si>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</si>
  <si>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</si>
  <si>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</si>
  <si>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</si>
  <si>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</si>
  <si>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</si>
  <si>
    <t>Today, I worked on DSA programs.</t>
  </si>
  <si>
    <t>Today, I worked on DSA and Python programs.</t>
  </si>
  <si>
    <t>Today, I worked on DSA and College Subjects.</t>
  </si>
  <si>
    <t>Today, I worked on DSA, SQL Queries and College Subjects.</t>
  </si>
  <si>
    <t>Today, I worked on DSA and Python College Subjects.</t>
  </si>
  <si>
    <t>Today, I worked on CA Practice and College Subjects.</t>
  </si>
  <si>
    <t>Today, I worked on SQL and College Subjects.</t>
  </si>
  <si>
    <t>Today, I worked on College Subjects.</t>
  </si>
  <si>
    <t>Today, I worked on College Subjects for CA.</t>
  </si>
  <si>
    <t>Today, I worked on College Subjects  and Coding.</t>
  </si>
  <si>
    <t>Very Unsatisfied</t>
  </si>
  <si>
    <t>Today, I worked on Coding.</t>
  </si>
  <si>
    <t>Today, I worked on Coding Hackathon.</t>
  </si>
  <si>
    <t>Unsatisfied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</si>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</sst>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4" activePane="bottomRight" state="frozen"/>
      <selection pane="topRight" activeCell="B1" sqref="B1"/>
      <selection pane="bottomLeft" activeCell="A6" sqref="A6"/>
      <selection pane="bottomRight" activeCell="L49" sqref="L49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180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1135</v>
      </c>
      <c r="J12" s="15">
        <f t="shared" ref="J12" si="7">IF(I12="","",1440-I12)</f>
        <v>305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ht="28.8" x14ac:dyDescent="0.3">
      <c r="A13" s="13">
        <v>46252</v>
      </c>
      <c r="B13" s="14">
        <v>450</v>
      </c>
      <c r="C13" s="14">
        <v>20</v>
      </c>
      <c r="D13" s="14">
        <v>60</v>
      </c>
      <c r="E13" s="14">
        <v>120</v>
      </c>
      <c r="F13" s="14">
        <v>200</v>
      </c>
      <c r="G13" s="14">
        <v>4</v>
      </c>
      <c r="H13" s="14">
        <v>60</v>
      </c>
      <c r="I13" s="15">
        <f t="shared" ref="I13" si="8">IF(SUM(B13:F13,H13)=0,"",SUM(B13:F13,H13))</f>
        <v>910</v>
      </c>
      <c r="J13" s="15">
        <f t="shared" ref="J13" si="9">IF(I13="","",1440-I13)</f>
        <v>530</v>
      </c>
      <c r="K13" s="16" t="s">
        <v>60</v>
      </c>
      <c r="L13" s="16" t="s">
        <v>60</v>
      </c>
      <c r="M13" s="16" t="s">
        <v>51</v>
      </c>
      <c r="N13" s="17" t="s">
        <v>66</v>
      </c>
    </row>
    <row r="14" spans="1:14" ht="28.8" x14ac:dyDescent="0.3">
      <c r="A14" s="13">
        <v>46253</v>
      </c>
      <c r="B14" s="14">
        <v>450</v>
      </c>
      <c r="C14" s="14">
        <v>0</v>
      </c>
      <c r="D14" s="14">
        <v>60</v>
      </c>
      <c r="E14" s="14">
        <v>120</v>
      </c>
      <c r="F14" s="14">
        <v>400</v>
      </c>
      <c r="G14" s="14">
        <v>8</v>
      </c>
      <c r="H14" s="14">
        <v>60</v>
      </c>
      <c r="I14" s="15">
        <f t="shared" ref="I14" si="10">IF(SUM(B14:F14,H14)=0,"",SUM(B14:F14,H14))</f>
        <v>1090</v>
      </c>
      <c r="J14" s="15">
        <f t="shared" ref="J14" si="11">IF(I14="","",1440-I14)</f>
        <v>350</v>
      </c>
      <c r="K14" s="16" t="s">
        <v>49</v>
      </c>
      <c r="L14" s="16" t="s">
        <v>50</v>
      </c>
      <c r="M14" s="16" t="s">
        <v>58</v>
      </c>
      <c r="N14" s="17" t="s">
        <v>67</v>
      </c>
    </row>
    <row r="15" spans="1:14" ht="28.8" x14ac:dyDescent="0.3">
      <c r="A15" s="13">
        <v>46254</v>
      </c>
      <c r="B15" s="14">
        <v>480</v>
      </c>
      <c r="C15" s="14">
        <v>0</v>
      </c>
      <c r="D15" s="14">
        <v>60</v>
      </c>
      <c r="E15" s="14">
        <v>180</v>
      </c>
      <c r="F15" s="14">
        <v>400</v>
      </c>
      <c r="G15" s="14">
        <v>8</v>
      </c>
      <c r="H15" s="14">
        <v>60</v>
      </c>
      <c r="I15" s="15">
        <f t="shared" ref="I15:I18" si="12">IF(SUM(B15:F15,H15)=0,"",SUM(B15:F15,H15))</f>
        <v>1180</v>
      </c>
      <c r="J15" s="15">
        <f t="shared" ref="J15:J18" si="13">IF(I15="","",1440-I15)</f>
        <v>260</v>
      </c>
      <c r="K15" s="16" t="s">
        <v>61</v>
      </c>
      <c r="L15" s="16" t="s">
        <v>59</v>
      </c>
      <c r="M15" s="16" t="s">
        <v>58</v>
      </c>
      <c r="N15" s="17" t="s">
        <v>67</v>
      </c>
    </row>
    <row r="16" spans="1:14" ht="28.8" x14ac:dyDescent="0.3">
      <c r="A16" s="13">
        <v>46255</v>
      </c>
      <c r="B16" s="14">
        <v>450</v>
      </c>
      <c r="C16" s="14">
        <v>0</v>
      </c>
      <c r="D16" s="14">
        <v>70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12"/>
        <v>700</v>
      </c>
      <c r="J16" s="15">
        <f t="shared" si="13"/>
        <v>740</v>
      </c>
      <c r="K16" s="16" t="s">
        <v>60</v>
      </c>
      <c r="L16" s="16" t="s">
        <v>60</v>
      </c>
      <c r="M16" s="16" t="s">
        <v>51</v>
      </c>
      <c r="N16" s="17" t="s">
        <v>67</v>
      </c>
    </row>
    <row r="17" spans="1:14" ht="28.8" x14ac:dyDescent="0.3">
      <c r="A17" s="13">
        <v>46256</v>
      </c>
      <c r="B17" s="14">
        <v>480</v>
      </c>
      <c r="C17" s="14">
        <v>20</v>
      </c>
      <c r="D17" s="14">
        <v>60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12"/>
        <v>740</v>
      </c>
      <c r="J17" s="15">
        <f t="shared" si="13"/>
        <v>700</v>
      </c>
      <c r="K17" s="16" t="s">
        <v>60</v>
      </c>
      <c r="L17" s="16" t="s">
        <v>60</v>
      </c>
      <c r="M17" s="16" t="s">
        <v>51</v>
      </c>
      <c r="N17" s="17" t="s">
        <v>67</v>
      </c>
    </row>
    <row r="18" spans="1:14" ht="28.8" x14ac:dyDescent="0.3">
      <c r="A18" s="13">
        <v>46257</v>
      </c>
      <c r="B18" s="14">
        <v>480</v>
      </c>
      <c r="C18" s="14">
        <v>20</v>
      </c>
      <c r="D18" s="14">
        <v>60</v>
      </c>
      <c r="E18" s="14">
        <v>150</v>
      </c>
      <c r="F18" s="14">
        <v>0</v>
      </c>
      <c r="G18" s="14">
        <v>0</v>
      </c>
      <c r="H18" s="14">
        <v>60</v>
      </c>
      <c r="I18" s="15">
        <f t="shared" si="12"/>
        <v>770</v>
      </c>
      <c r="J18" s="15">
        <f t="shared" si="13"/>
        <v>670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ht="43.2" x14ac:dyDescent="0.3">
      <c r="A19" s="13">
        <v>46258</v>
      </c>
      <c r="B19" s="14">
        <v>450</v>
      </c>
      <c r="C19" s="14">
        <v>20</v>
      </c>
      <c r="D19" s="14">
        <v>120</v>
      </c>
      <c r="E19" s="14">
        <v>100</v>
      </c>
      <c r="F19" s="14">
        <v>350</v>
      </c>
      <c r="G19" s="14">
        <v>7</v>
      </c>
      <c r="H19" s="14">
        <v>60</v>
      </c>
      <c r="I19" s="15">
        <f t="shared" ref="I19" si="14">IF(SUM(B19:F19,H19)=0,"",SUM(B19:F19,H19))</f>
        <v>1100</v>
      </c>
      <c r="J19" s="15">
        <f t="shared" ref="J19" si="15">IF(I19="","",1440-I19)</f>
        <v>340</v>
      </c>
      <c r="K19" s="16" t="s">
        <v>61</v>
      </c>
      <c r="L19" s="16" t="s">
        <v>59</v>
      </c>
      <c r="M19" s="16" t="s">
        <v>58</v>
      </c>
      <c r="N19" s="17" t="s">
        <v>69</v>
      </c>
    </row>
    <row r="20" spans="1:14" ht="28.8" x14ac:dyDescent="0.3">
      <c r="A20" s="13">
        <v>46259</v>
      </c>
      <c r="B20" s="14">
        <v>450</v>
      </c>
      <c r="C20" s="14">
        <v>20</v>
      </c>
      <c r="D20" s="14">
        <v>120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ref="I20" si="16">IF(SUM(B20:F20,H20)=0,"",SUM(B20:F20,H20))</f>
        <v>980</v>
      </c>
      <c r="J20" s="15">
        <f t="shared" ref="J20" si="17">IF(I20="","",1440-I20)</f>
        <v>460</v>
      </c>
      <c r="K20" s="16" t="s">
        <v>49</v>
      </c>
      <c r="L20" s="16" t="s">
        <v>60</v>
      </c>
      <c r="M20" s="16" t="s">
        <v>58</v>
      </c>
      <c r="N20" s="17" t="s">
        <v>68</v>
      </c>
    </row>
    <row r="21" spans="1:14" ht="28.8" x14ac:dyDescent="0.3">
      <c r="A21" s="13">
        <v>46260</v>
      </c>
      <c r="B21" s="14">
        <v>450</v>
      </c>
      <c r="C21" s="14">
        <v>0</v>
      </c>
      <c r="D21" s="14">
        <v>60</v>
      </c>
      <c r="E21" s="14">
        <v>120</v>
      </c>
      <c r="F21" s="14">
        <v>350</v>
      </c>
      <c r="G21" s="14">
        <v>7</v>
      </c>
      <c r="H21" s="14">
        <v>60</v>
      </c>
      <c r="I21" s="15">
        <f t="shared" ref="I21" si="18">IF(SUM(B21:F21,H21)=0,"",SUM(B21:F21,H21))</f>
        <v>1040</v>
      </c>
      <c r="J21" s="15">
        <f t="shared" ref="J21" si="19">IF(I21="","",1440-I21)</f>
        <v>400</v>
      </c>
      <c r="K21" s="16" t="s">
        <v>49</v>
      </c>
      <c r="L21" s="16" t="s">
        <v>60</v>
      </c>
      <c r="M21" s="16" t="s">
        <v>58</v>
      </c>
      <c r="N21" s="17" t="s">
        <v>70</v>
      </c>
    </row>
    <row r="22" spans="1:14" ht="28.8" x14ac:dyDescent="0.3">
      <c r="A22" s="13">
        <v>46261</v>
      </c>
      <c r="B22" s="14">
        <v>450</v>
      </c>
      <c r="C22" s="14">
        <v>0</v>
      </c>
      <c r="D22" s="14">
        <v>210</v>
      </c>
      <c r="E22" s="14">
        <v>60</v>
      </c>
      <c r="F22" s="14">
        <v>200</v>
      </c>
      <c r="G22" s="14">
        <v>4</v>
      </c>
      <c r="H22" s="14">
        <v>60</v>
      </c>
      <c r="I22" s="15">
        <f t="shared" ref="I22" si="20">IF(SUM(B22:F22,H22)=0,"",SUM(B22:F22,H22))</f>
        <v>980</v>
      </c>
      <c r="J22" s="15">
        <f t="shared" ref="J22" si="21">IF(I22="","",1440-I22)</f>
        <v>460</v>
      </c>
      <c r="K22" s="16" t="s">
        <v>49</v>
      </c>
      <c r="L22" s="16" t="s">
        <v>50</v>
      </c>
      <c r="M22" s="16" t="s">
        <v>58</v>
      </c>
      <c r="N22" s="17" t="s">
        <v>68</v>
      </c>
    </row>
    <row r="23" spans="1:14" ht="28.8" x14ac:dyDescent="0.3">
      <c r="A23" s="13">
        <v>46262</v>
      </c>
      <c r="B23" s="14">
        <v>450</v>
      </c>
      <c r="C23" s="14">
        <v>0</v>
      </c>
      <c r="D23" s="14">
        <v>60</v>
      </c>
      <c r="E23" s="14">
        <v>20</v>
      </c>
      <c r="F23" s="14">
        <v>150</v>
      </c>
      <c r="G23" s="14">
        <v>3</v>
      </c>
      <c r="H23" s="14">
        <v>60</v>
      </c>
      <c r="I23" s="15">
        <f t="shared" ref="I23" si="22">IF(SUM(B23:F23,H23)=0,"",SUM(B23:F23,H23))</f>
        <v>740</v>
      </c>
      <c r="J23" s="15">
        <f t="shared" ref="J23" si="23">IF(I23="","",1440-I23)</f>
        <v>700</v>
      </c>
      <c r="K23" s="16" t="s">
        <v>49</v>
      </c>
      <c r="L23" s="16" t="s">
        <v>50</v>
      </c>
      <c r="M23" s="16" t="s">
        <v>58</v>
      </c>
      <c r="N23" s="17" t="s">
        <v>68</v>
      </c>
    </row>
    <row r="24" spans="1:14" ht="28.8" x14ac:dyDescent="0.3">
      <c r="A24" s="13">
        <v>46263</v>
      </c>
      <c r="B24" s="14">
        <v>450</v>
      </c>
      <c r="C24" s="14">
        <v>0</v>
      </c>
      <c r="D24" s="14">
        <v>120</v>
      </c>
      <c r="E24" s="14">
        <v>20</v>
      </c>
      <c r="F24" s="14">
        <v>50</v>
      </c>
      <c r="G24" s="14">
        <v>1</v>
      </c>
      <c r="H24" s="14">
        <v>60</v>
      </c>
      <c r="I24" s="15">
        <f t="shared" ref="I24" si="24">IF(SUM(B24:F24,H24)=0,"",SUM(B24:F24,H24))</f>
        <v>700</v>
      </c>
      <c r="J24" s="15">
        <f t="shared" ref="J24" si="25">IF(I24="","",1440-I24)</f>
        <v>740</v>
      </c>
      <c r="K24" s="16" t="s">
        <v>49</v>
      </c>
      <c r="L24" s="16" t="s">
        <v>50</v>
      </c>
      <c r="M24" s="16" t="s">
        <v>58</v>
      </c>
      <c r="N24" s="17" t="s">
        <v>68</v>
      </c>
    </row>
    <row r="25" spans="1:14" ht="43.2" x14ac:dyDescent="0.3">
      <c r="A25" s="13">
        <v>46264</v>
      </c>
      <c r="B25" s="14">
        <v>450</v>
      </c>
      <c r="C25" s="14">
        <v>0</v>
      </c>
      <c r="D25" s="14">
        <v>60</v>
      </c>
      <c r="E25" s="14">
        <v>30</v>
      </c>
      <c r="F25" s="14">
        <v>0</v>
      </c>
      <c r="G25" s="14">
        <v>0</v>
      </c>
      <c r="H25" s="14">
        <v>60</v>
      </c>
      <c r="I25" s="15">
        <f t="shared" ref="I25" si="26">IF(SUM(B25:F25,H25)=0,"",SUM(B25:F25,H25))</f>
        <v>600</v>
      </c>
      <c r="J25" s="15">
        <f t="shared" ref="J25" si="27">IF(I25="","",1440-I25)</f>
        <v>840</v>
      </c>
      <c r="K25" s="16" t="s">
        <v>49</v>
      </c>
      <c r="L25" s="16" t="s">
        <v>50</v>
      </c>
      <c r="M25" s="16" t="s">
        <v>58</v>
      </c>
      <c r="N25" s="17" t="s">
        <v>71</v>
      </c>
    </row>
    <row r="26" spans="1:14" ht="28.8" x14ac:dyDescent="0.3">
      <c r="A26" s="13">
        <v>46265</v>
      </c>
      <c r="B26" s="14">
        <v>450</v>
      </c>
      <c r="C26" s="14">
        <v>20</v>
      </c>
      <c r="D26" s="14">
        <v>120</v>
      </c>
      <c r="E26" s="14">
        <v>120</v>
      </c>
      <c r="F26" s="14">
        <v>350</v>
      </c>
      <c r="G26" s="14">
        <v>7</v>
      </c>
      <c r="H26" s="14">
        <v>60</v>
      </c>
      <c r="I26" s="15">
        <f t="shared" ref="I26" si="28">IF(SUM(B26:F26,H26)=0,"",SUM(B26:F26,H26))</f>
        <v>1120</v>
      </c>
      <c r="J26" s="15">
        <f t="shared" ref="J26" si="29">IF(I26="","",1440-I26)</f>
        <v>320</v>
      </c>
      <c r="K26" s="16" t="s">
        <v>49</v>
      </c>
      <c r="L26" s="16" t="s">
        <v>50</v>
      </c>
      <c r="M26" s="16" t="s">
        <v>58</v>
      </c>
      <c r="N26" s="17" t="s">
        <v>72</v>
      </c>
    </row>
    <row r="27" spans="1:14" ht="28.8" x14ac:dyDescent="0.3">
      <c r="A27" s="13">
        <v>46266</v>
      </c>
      <c r="B27" s="14">
        <v>450</v>
      </c>
      <c r="C27" s="14">
        <v>30</v>
      </c>
      <c r="D27" s="14">
        <v>120</v>
      </c>
      <c r="E27" s="14">
        <v>30</v>
      </c>
      <c r="F27" s="14">
        <v>300</v>
      </c>
      <c r="G27" s="14">
        <v>6</v>
      </c>
      <c r="H27" s="14">
        <v>60</v>
      </c>
      <c r="I27" s="15">
        <f t="shared" ref="I27" si="30">IF(SUM(B27:F27,H27)=0,"",SUM(B27:F27,H27))</f>
        <v>990</v>
      </c>
      <c r="J27" s="15">
        <f t="shared" ref="J27" si="31">IF(I27="","",1440-I27)</f>
        <v>450</v>
      </c>
      <c r="K27" s="16" t="s">
        <v>49</v>
      </c>
      <c r="L27" s="16" t="s">
        <v>50</v>
      </c>
      <c r="M27" s="16" t="s">
        <v>58</v>
      </c>
      <c r="N27" s="17" t="s">
        <v>73</v>
      </c>
    </row>
    <row r="28" spans="1:14" ht="28.8" x14ac:dyDescent="0.3">
      <c r="A28" s="13">
        <v>46267</v>
      </c>
      <c r="B28" s="14">
        <v>450</v>
      </c>
      <c r="C28" s="14">
        <v>30</v>
      </c>
      <c r="D28" s="14">
        <v>120</v>
      </c>
      <c r="E28" s="14">
        <v>40</v>
      </c>
      <c r="F28" s="14">
        <v>350</v>
      </c>
      <c r="G28" s="14">
        <v>7</v>
      </c>
      <c r="H28" s="14">
        <v>60</v>
      </c>
      <c r="I28" s="15">
        <f t="shared" ref="I28" si="32">IF(SUM(B28:F28,H28)=0,"",SUM(B28:F28,H28))</f>
        <v>1050</v>
      </c>
      <c r="J28" s="15">
        <f t="shared" ref="J28" si="33">IF(I28="","",1440-I28)</f>
        <v>390</v>
      </c>
      <c r="K28" s="16" t="s">
        <v>49</v>
      </c>
      <c r="L28" s="16" t="s">
        <v>60</v>
      </c>
      <c r="M28" s="16" t="s">
        <v>51</v>
      </c>
      <c r="N28" s="17" t="s">
        <v>73</v>
      </c>
    </row>
    <row r="29" spans="1:14" ht="28.8" x14ac:dyDescent="0.3">
      <c r="A29" s="13">
        <v>46268</v>
      </c>
      <c r="B29" s="14">
        <v>450</v>
      </c>
      <c r="C29" s="14">
        <v>20</v>
      </c>
      <c r="D29" s="14">
        <v>130</v>
      </c>
      <c r="E29" s="14">
        <v>20</v>
      </c>
      <c r="F29" s="14">
        <v>350</v>
      </c>
      <c r="G29" s="14">
        <v>7</v>
      </c>
      <c r="H29" s="14">
        <v>60</v>
      </c>
      <c r="I29" s="15">
        <f t="shared" ref="I29" si="34">IF(SUM(B29:F29,H29)=0,"",SUM(B29:F29,H29))</f>
        <v>1030</v>
      </c>
      <c r="J29" s="15">
        <f t="shared" ref="J29" si="35">IF(I29="","",1440-I29)</f>
        <v>410</v>
      </c>
      <c r="K29" s="16" t="s">
        <v>49</v>
      </c>
      <c r="L29" s="16" t="s">
        <v>60</v>
      </c>
      <c r="M29" s="16" t="s">
        <v>51</v>
      </c>
      <c r="N29" s="17" t="s">
        <v>73</v>
      </c>
    </row>
    <row r="30" spans="1:14" ht="28.8" x14ac:dyDescent="0.3">
      <c r="A30" s="13">
        <v>46269</v>
      </c>
      <c r="B30" s="14">
        <v>450</v>
      </c>
      <c r="C30" s="14">
        <v>20</v>
      </c>
      <c r="D30" s="14">
        <v>60</v>
      </c>
      <c r="E30" s="14">
        <v>20</v>
      </c>
      <c r="F30" s="14">
        <v>150</v>
      </c>
      <c r="G30" s="14">
        <v>3</v>
      </c>
      <c r="H30" s="14">
        <v>60</v>
      </c>
      <c r="I30" s="15">
        <f t="shared" ref="I30" si="36">IF(SUM(B30:F30,H30)=0,"",SUM(B30:F30,H30))</f>
        <v>760</v>
      </c>
      <c r="J30" s="15">
        <f t="shared" ref="J30" si="37">IF(I30="","",1440-I30)</f>
        <v>680</v>
      </c>
      <c r="K30" s="16" t="s">
        <v>61</v>
      </c>
      <c r="L30" s="16" t="s">
        <v>60</v>
      </c>
      <c r="M30" s="16" t="s">
        <v>58</v>
      </c>
      <c r="N30" s="17" t="s">
        <v>73</v>
      </c>
    </row>
    <row r="31" spans="1:14" ht="28.8" x14ac:dyDescent="0.3">
      <c r="A31" s="13">
        <v>46270</v>
      </c>
      <c r="B31" s="14">
        <v>450</v>
      </c>
      <c r="C31" s="14">
        <v>0</v>
      </c>
      <c r="D31" s="14">
        <v>180</v>
      </c>
      <c r="E31" s="14">
        <v>20</v>
      </c>
      <c r="F31" s="14">
        <v>0</v>
      </c>
      <c r="G31" s="14">
        <v>0</v>
      </c>
      <c r="H31" s="14">
        <v>60</v>
      </c>
      <c r="I31" s="15">
        <f t="shared" ref="I31" si="38">IF(SUM(B31:F31,H31)=0,"",SUM(B31:F31,H31))</f>
        <v>710</v>
      </c>
      <c r="J31" s="15">
        <f t="shared" ref="J31" si="39">IF(I31="","",1440-I31)</f>
        <v>730</v>
      </c>
      <c r="K31" s="16" t="s">
        <v>61</v>
      </c>
      <c r="L31" s="16" t="s">
        <v>60</v>
      </c>
      <c r="M31" s="16" t="s">
        <v>58</v>
      </c>
      <c r="N31" s="17" t="s">
        <v>73</v>
      </c>
    </row>
    <row r="32" spans="1:14" ht="28.8" x14ac:dyDescent="0.3">
      <c r="A32" s="13">
        <v>46271</v>
      </c>
      <c r="B32" s="14">
        <v>450</v>
      </c>
      <c r="C32" s="14">
        <v>0</v>
      </c>
      <c r="D32" s="14">
        <v>200</v>
      </c>
      <c r="E32" s="14">
        <v>20</v>
      </c>
      <c r="F32" s="14">
        <v>0</v>
      </c>
      <c r="G32" s="14">
        <v>0</v>
      </c>
      <c r="H32" s="14">
        <v>60</v>
      </c>
      <c r="I32" s="15">
        <f t="shared" ref="I32" si="40">IF(SUM(B32:F32,H32)=0,"",SUM(B32:F32,H32))</f>
        <v>730</v>
      </c>
      <c r="J32" s="15">
        <f t="shared" ref="J32" si="41">IF(I32="","",1440-I32)</f>
        <v>710</v>
      </c>
      <c r="K32" s="16" t="s">
        <v>61</v>
      </c>
      <c r="L32" s="16" t="s">
        <v>60</v>
      </c>
      <c r="M32" s="16" t="s">
        <v>58</v>
      </c>
      <c r="N32" s="17" t="s">
        <v>74</v>
      </c>
    </row>
    <row r="33" spans="1:14" ht="28.8" x14ac:dyDescent="0.3">
      <c r="A33" s="13">
        <v>46272</v>
      </c>
      <c r="B33" s="14">
        <v>450</v>
      </c>
      <c r="C33" s="14">
        <v>20</v>
      </c>
      <c r="D33" s="14">
        <v>180</v>
      </c>
      <c r="E33" s="14">
        <v>15</v>
      </c>
      <c r="F33" s="14">
        <v>350</v>
      </c>
      <c r="G33" s="14">
        <v>7</v>
      </c>
      <c r="H33" s="14">
        <v>60</v>
      </c>
      <c r="I33" s="15">
        <f t="shared" ref="I33" si="42">IF(SUM(B33:F33,H33)=0,"",SUM(B33:F33,H33))</f>
        <v>1075</v>
      </c>
      <c r="J33" s="15">
        <f t="shared" ref="J33" si="43">IF(I33="","",1440-I33)</f>
        <v>365</v>
      </c>
      <c r="K33" s="16" t="s">
        <v>61</v>
      </c>
      <c r="L33" s="16" t="s">
        <v>60</v>
      </c>
      <c r="M33" s="16" t="s">
        <v>58</v>
      </c>
      <c r="N33" s="17" t="s">
        <v>74</v>
      </c>
    </row>
    <row r="34" spans="1:14" ht="28.8" x14ac:dyDescent="0.3">
      <c r="A34" s="13">
        <v>46273</v>
      </c>
      <c r="B34" s="14">
        <v>450</v>
      </c>
      <c r="C34" s="14">
        <v>20</v>
      </c>
      <c r="D34" s="14">
        <v>120</v>
      </c>
      <c r="E34" s="14">
        <v>120</v>
      </c>
      <c r="F34" s="14">
        <v>300</v>
      </c>
      <c r="G34" s="14">
        <v>6</v>
      </c>
      <c r="H34" s="14">
        <v>60</v>
      </c>
      <c r="I34" s="15">
        <f t="shared" ref="I34" si="44">IF(SUM(B34:F34,H34)=0,"",SUM(B34:F34,H34))</f>
        <v>1070</v>
      </c>
      <c r="J34" s="15">
        <f t="shared" ref="J34" si="45">IF(I34="","",1440-I34)</f>
        <v>370</v>
      </c>
      <c r="K34" s="16" t="s">
        <v>61</v>
      </c>
      <c r="L34" s="16" t="s">
        <v>60</v>
      </c>
      <c r="M34" s="16" t="s">
        <v>58</v>
      </c>
      <c r="N34" s="17" t="s">
        <v>75</v>
      </c>
    </row>
    <row r="35" spans="1:14" ht="28.8" x14ac:dyDescent="0.3">
      <c r="A35" s="13">
        <v>46274</v>
      </c>
      <c r="B35" s="14">
        <v>450</v>
      </c>
      <c r="C35" s="14">
        <v>20</v>
      </c>
      <c r="D35" s="14">
        <v>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ref="I35" si="46">IF(SUM(B35:F35,H35)=0,"",SUM(B35:F35,H35))</f>
        <v>910</v>
      </c>
      <c r="J35" s="15">
        <f t="shared" ref="J35" si="47">IF(I35="","",1440-I35)</f>
        <v>530</v>
      </c>
      <c r="K35" s="16" t="s">
        <v>61</v>
      </c>
      <c r="L35" s="16" t="s">
        <v>76</v>
      </c>
      <c r="M35" s="16" t="s">
        <v>51</v>
      </c>
      <c r="N35" s="17" t="s">
        <v>75</v>
      </c>
    </row>
    <row r="36" spans="1:14" ht="28.8" x14ac:dyDescent="0.3">
      <c r="A36" s="13">
        <v>46275</v>
      </c>
      <c r="B36" s="14">
        <v>450</v>
      </c>
      <c r="C36" s="14">
        <v>20</v>
      </c>
      <c r="D36" s="14">
        <v>0</v>
      </c>
      <c r="E36" s="14">
        <v>90</v>
      </c>
      <c r="F36" s="14">
        <v>200</v>
      </c>
      <c r="G36" s="14">
        <v>4</v>
      </c>
      <c r="H36" s="14">
        <v>270</v>
      </c>
      <c r="I36" s="15">
        <f t="shared" ref="I36" si="48">IF(SUM(B36:F36,H36)=0,"",SUM(B36:F36,H36))</f>
        <v>1030</v>
      </c>
      <c r="J36" s="15">
        <f t="shared" ref="J36" si="49">IF(I36="","",1440-I36)</f>
        <v>410</v>
      </c>
      <c r="K36" s="16" t="s">
        <v>60</v>
      </c>
      <c r="L36" s="16" t="s">
        <v>76</v>
      </c>
      <c r="M36" s="16" t="s">
        <v>51</v>
      </c>
      <c r="N36" s="17" t="s">
        <v>77</v>
      </c>
    </row>
    <row r="37" spans="1:14" ht="28.8" x14ac:dyDescent="0.3">
      <c r="A37" s="13">
        <v>46276</v>
      </c>
      <c r="B37" s="14">
        <v>60</v>
      </c>
      <c r="C37" s="14">
        <v>0</v>
      </c>
      <c r="D37" s="14">
        <v>0</v>
      </c>
      <c r="E37" s="14">
        <v>300</v>
      </c>
      <c r="F37" s="14">
        <v>0</v>
      </c>
      <c r="G37" s="14">
        <v>0</v>
      </c>
      <c r="H37" s="14">
        <v>270</v>
      </c>
      <c r="I37" s="15">
        <f t="shared" ref="I37:I39" si="50">IF(SUM(B37:F37,H37)=0,"",SUM(B37:F37,H37))</f>
        <v>630</v>
      </c>
      <c r="J37" s="15">
        <f t="shared" ref="J37:J39" si="51">IF(I37="","",1440-I37)</f>
        <v>810</v>
      </c>
      <c r="K37" s="16" t="s">
        <v>61</v>
      </c>
      <c r="L37" s="16" t="s">
        <v>59</v>
      </c>
      <c r="M37" s="16" t="s">
        <v>51</v>
      </c>
      <c r="N37" s="17" t="s">
        <v>78</v>
      </c>
    </row>
    <row r="38" spans="1:14" ht="28.8" x14ac:dyDescent="0.3">
      <c r="A38" s="13">
        <v>46277</v>
      </c>
      <c r="B38" s="14">
        <v>600</v>
      </c>
      <c r="C38" s="14">
        <v>0</v>
      </c>
      <c r="D38" s="14">
        <v>0</v>
      </c>
      <c r="E38" s="14">
        <v>420</v>
      </c>
      <c r="F38" s="14">
        <v>0</v>
      </c>
      <c r="G38" s="14">
        <v>0</v>
      </c>
      <c r="H38" s="14">
        <v>270</v>
      </c>
      <c r="I38" s="15">
        <f t="shared" si="50"/>
        <v>1290</v>
      </c>
      <c r="J38" s="15">
        <f t="shared" si="51"/>
        <v>150</v>
      </c>
      <c r="K38" s="16" t="s">
        <v>61</v>
      </c>
      <c r="L38" s="16" t="s">
        <v>59</v>
      </c>
      <c r="M38" s="16" t="s">
        <v>51</v>
      </c>
      <c r="N38" s="17" t="s">
        <v>78</v>
      </c>
    </row>
    <row r="39" spans="1:14" ht="28.8" x14ac:dyDescent="0.3">
      <c r="A39" s="13">
        <v>46278</v>
      </c>
      <c r="B39" s="14">
        <v>540</v>
      </c>
      <c r="C39" s="14">
        <v>0</v>
      </c>
      <c r="D39" s="14">
        <v>300</v>
      </c>
      <c r="E39" s="14">
        <v>30</v>
      </c>
      <c r="F39" s="14">
        <v>0</v>
      </c>
      <c r="G39" s="14">
        <v>0</v>
      </c>
      <c r="H39" s="14">
        <v>270</v>
      </c>
      <c r="I39" s="15">
        <f t="shared" si="50"/>
        <v>1140</v>
      </c>
      <c r="J39" s="15">
        <f t="shared" si="51"/>
        <v>300</v>
      </c>
      <c r="K39" s="16" t="s">
        <v>61</v>
      </c>
      <c r="L39" s="16" t="s">
        <v>59</v>
      </c>
      <c r="M39" s="16" t="s">
        <v>51</v>
      </c>
      <c r="N39" s="17" t="s">
        <v>73</v>
      </c>
    </row>
    <row r="40" spans="1:14" ht="28.8" x14ac:dyDescent="0.3">
      <c r="A40" s="13">
        <v>46279</v>
      </c>
      <c r="B40" s="14">
        <v>400</v>
      </c>
      <c r="C40" s="14">
        <v>0</v>
      </c>
      <c r="D40" s="14">
        <v>120</v>
      </c>
      <c r="E40" s="14">
        <v>30</v>
      </c>
      <c r="F40" s="14">
        <v>350</v>
      </c>
      <c r="G40" s="14">
        <v>7</v>
      </c>
      <c r="H40" s="14">
        <v>270</v>
      </c>
      <c r="I40" s="15">
        <f t="shared" ref="I40" si="52">IF(SUM(B40:F40,H40)=0,"",SUM(B40:F40,H40))</f>
        <v>1170</v>
      </c>
      <c r="J40" s="15">
        <f t="shared" ref="J40" si="53">IF(I40="","",1440-I40)</f>
        <v>270</v>
      </c>
      <c r="K40" s="16" t="s">
        <v>49</v>
      </c>
      <c r="L40" s="16" t="s">
        <v>60</v>
      </c>
      <c r="M40" s="16" t="s">
        <v>51</v>
      </c>
      <c r="N40" s="17" t="s">
        <v>73</v>
      </c>
    </row>
    <row r="41" spans="1:14" ht="28.8" x14ac:dyDescent="0.3">
      <c r="A41" s="13">
        <v>46280</v>
      </c>
      <c r="B41" s="14">
        <v>400</v>
      </c>
      <c r="C41" s="14">
        <v>0</v>
      </c>
      <c r="D41" s="14">
        <v>60</v>
      </c>
      <c r="E41" s="14">
        <v>20</v>
      </c>
      <c r="F41" s="14">
        <v>300</v>
      </c>
      <c r="G41" s="14">
        <v>6</v>
      </c>
      <c r="H41" s="14">
        <v>270</v>
      </c>
      <c r="I41" s="15">
        <f t="shared" ref="I41" si="54">IF(SUM(B41:F41,H41)=0,"",SUM(B41:F41,H41))</f>
        <v>1050</v>
      </c>
      <c r="J41" s="15">
        <f t="shared" ref="J41" si="55">IF(I41="","",1440-I41)</f>
        <v>390</v>
      </c>
      <c r="K41" s="16" t="s">
        <v>49</v>
      </c>
      <c r="L41" s="16" t="s">
        <v>60</v>
      </c>
      <c r="M41" s="16" t="s">
        <v>51</v>
      </c>
      <c r="N41" s="17" t="s">
        <v>73</v>
      </c>
    </row>
    <row r="42" spans="1:14" x14ac:dyDescent="0.3">
      <c r="A42" s="13">
        <v>46281</v>
      </c>
      <c r="B42" s="14">
        <v>400</v>
      </c>
      <c r="C42" s="14">
        <v>0</v>
      </c>
      <c r="D42" s="14">
        <v>120</v>
      </c>
      <c r="E42" s="14">
        <v>20</v>
      </c>
      <c r="F42" s="14">
        <v>350</v>
      </c>
      <c r="G42" s="14">
        <v>7</v>
      </c>
      <c r="H42" s="14">
        <v>270</v>
      </c>
      <c r="I42" s="15">
        <f t="shared" ref="I42" si="56">IF(SUM(B42:F42,H42)=0,"",SUM(B42:F42,H42))</f>
        <v>1160</v>
      </c>
      <c r="J42" s="15">
        <f t="shared" ref="J42" si="57">IF(I42="","",1440-I42)</f>
        <v>280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46282</v>
      </c>
      <c r="B43" s="14">
        <v>400</v>
      </c>
      <c r="C43" s="14">
        <v>0</v>
      </c>
      <c r="D43" s="14">
        <v>240</v>
      </c>
      <c r="E43" s="14">
        <v>20</v>
      </c>
      <c r="F43" s="14">
        <v>150</v>
      </c>
      <c r="G43" s="14">
        <v>3</v>
      </c>
      <c r="H43" s="14">
        <v>270</v>
      </c>
      <c r="I43" s="15">
        <f t="shared" ref="I43:I48" si="58">IF(SUM(B43:F43,H43)=0,"",SUM(B43:F43,H43))</f>
        <v>1080</v>
      </c>
      <c r="J43" s="15">
        <f t="shared" ref="J43:J48" si="59">IF(I43="","",1440-I43)</f>
        <v>360</v>
      </c>
      <c r="K43" s="16" t="s">
        <v>61</v>
      </c>
      <c r="L43" s="16" t="s">
        <v>50</v>
      </c>
      <c r="M43" s="16" t="s">
        <v>58</v>
      </c>
      <c r="N43" s="17"/>
    </row>
    <row r="44" spans="1:14" x14ac:dyDescent="0.3">
      <c r="A44" s="13">
        <v>46283</v>
      </c>
      <c r="B44" s="14">
        <v>400</v>
      </c>
      <c r="C44" s="14">
        <v>0</v>
      </c>
      <c r="D44" s="14">
        <v>240</v>
      </c>
      <c r="E44" s="14">
        <v>0</v>
      </c>
      <c r="F44" s="14">
        <v>0</v>
      </c>
      <c r="G44" s="14">
        <v>0</v>
      </c>
      <c r="H44" s="14">
        <v>270</v>
      </c>
      <c r="I44" s="15">
        <f t="shared" si="58"/>
        <v>910</v>
      </c>
      <c r="J44" s="15">
        <f t="shared" si="59"/>
        <v>530</v>
      </c>
      <c r="K44" s="16" t="s">
        <v>61</v>
      </c>
      <c r="L44" s="16" t="s">
        <v>79</v>
      </c>
      <c r="M44" s="16" t="s">
        <v>58</v>
      </c>
      <c r="N44" s="17"/>
    </row>
    <row r="45" spans="1:14" x14ac:dyDescent="0.3">
      <c r="A45" s="13">
        <v>46284</v>
      </c>
      <c r="B45" s="14">
        <v>400</v>
      </c>
      <c r="C45" s="14">
        <v>0</v>
      </c>
      <c r="D45" s="14">
        <v>180</v>
      </c>
      <c r="E45" s="14">
        <v>0</v>
      </c>
      <c r="F45" s="14">
        <v>0</v>
      </c>
      <c r="G45" s="14">
        <v>0</v>
      </c>
      <c r="H45" s="14">
        <v>270</v>
      </c>
      <c r="I45" s="15">
        <f t="shared" si="58"/>
        <v>850</v>
      </c>
      <c r="J45" s="15">
        <f t="shared" si="59"/>
        <v>590</v>
      </c>
      <c r="K45" s="16" t="s">
        <v>61</v>
      </c>
      <c r="L45" s="16" t="s">
        <v>50</v>
      </c>
      <c r="M45" s="16" t="s">
        <v>58</v>
      </c>
      <c r="N45" s="17"/>
    </row>
    <row r="46" spans="1:14" ht="28.8" x14ac:dyDescent="0.3">
      <c r="A46" s="13">
        <v>46285</v>
      </c>
      <c r="B46" s="14">
        <v>400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270</v>
      </c>
      <c r="I46" s="15">
        <f t="shared" si="58"/>
        <v>670</v>
      </c>
      <c r="J46" s="15">
        <f t="shared" si="59"/>
        <v>770</v>
      </c>
      <c r="K46" s="16" t="s">
        <v>61</v>
      </c>
      <c r="L46" s="16" t="s">
        <v>76</v>
      </c>
      <c r="M46" s="16" t="s">
        <v>58</v>
      </c>
      <c r="N46" s="17"/>
    </row>
    <row r="47" spans="1:14" ht="28.8" x14ac:dyDescent="0.3">
      <c r="A47" s="13">
        <v>46286</v>
      </c>
      <c r="B47" s="14">
        <v>400</v>
      </c>
      <c r="C47" s="14">
        <v>0</v>
      </c>
      <c r="D47" s="14">
        <v>0</v>
      </c>
      <c r="E47" s="14">
        <v>20</v>
      </c>
      <c r="F47" s="14">
        <v>0</v>
      </c>
      <c r="G47" s="14">
        <v>0</v>
      </c>
      <c r="H47" s="14">
        <v>270</v>
      </c>
      <c r="I47" s="15">
        <f t="shared" si="58"/>
        <v>690</v>
      </c>
      <c r="J47" s="15">
        <f t="shared" si="59"/>
        <v>750</v>
      </c>
      <c r="K47" s="16" t="s">
        <v>80</v>
      </c>
      <c r="L47" s="16" t="s">
        <v>76</v>
      </c>
      <c r="M47" s="16" t="s">
        <v>58</v>
      </c>
      <c r="N47" s="17"/>
    </row>
    <row r="48" spans="1:14" ht="28.8" x14ac:dyDescent="0.3">
      <c r="A48" s="13">
        <v>46287</v>
      </c>
      <c r="B48" s="14">
        <v>400</v>
      </c>
      <c r="C48" s="14">
        <v>0</v>
      </c>
      <c r="D48" s="14">
        <v>70</v>
      </c>
      <c r="E48" s="14">
        <v>50</v>
      </c>
      <c r="F48" s="14">
        <v>300</v>
      </c>
      <c r="G48" s="14">
        <v>6</v>
      </c>
      <c r="H48" s="14">
        <v>270</v>
      </c>
      <c r="I48" s="15">
        <f t="shared" si="58"/>
        <v>1090</v>
      </c>
      <c r="J48" s="15">
        <f t="shared" si="59"/>
        <v>350</v>
      </c>
      <c r="K48" s="16" t="s">
        <v>80</v>
      </c>
      <c r="L48" s="16" t="s">
        <v>76</v>
      </c>
      <c r="M48" s="16" t="s">
        <v>58</v>
      </c>
      <c r="N48" s="17"/>
    </row>
    <row r="49" spans="1:14" ht="28.8" x14ac:dyDescent="0.3">
      <c r="A49" s="13">
        <v>46288</v>
      </c>
      <c r="B49" s="14">
        <v>400</v>
      </c>
      <c r="C49" s="14">
        <v>0</v>
      </c>
      <c r="D49" s="14">
        <v>180</v>
      </c>
      <c r="E49" s="14">
        <v>50</v>
      </c>
      <c r="F49" s="14">
        <v>350</v>
      </c>
      <c r="G49" s="14">
        <v>7</v>
      </c>
      <c r="H49" s="14">
        <v>270</v>
      </c>
      <c r="I49" s="15">
        <f t="shared" ref="I49" si="60">IF(SUM(B49:F49,H49)=0,"",SUM(B49:F49,H49))</f>
        <v>1250</v>
      </c>
      <c r="J49" s="15">
        <f t="shared" ref="J49" si="61">IF(I49="","",1440-I49)</f>
        <v>190</v>
      </c>
      <c r="K49" s="16" t="s">
        <v>80</v>
      </c>
      <c r="L49" s="16" t="s">
        <v>76</v>
      </c>
      <c r="M49" s="16" t="s">
        <v>58</v>
      </c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62">IF(SUM(B70:F70,H70)=0,"",SUM(B70:F70,H70))</f>
        <v/>
      </c>
      <c r="J70" s="10" t="str">
        <f t="shared" ref="J70:J133" si="6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62"/>
        <v/>
      </c>
      <c r="J71" s="10" t="str">
        <f t="shared" si="6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62"/>
        <v/>
      </c>
      <c r="J72" s="10" t="str">
        <f t="shared" si="6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62"/>
        <v/>
      </c>
      <c r="J73" s="10" t="str">
        <f t="shared" si="6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62"/>
        <v/>
      </c>
      <c r="J74" s="10" t="str">
        <f t="shared" si="6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62"/>
        <v/>
      </c>
      <c r="J75" s="10" t="str">
        <f t="shared" si="6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62"/>
        <v/>
      </c>
      <c r="J76" s="10" t="str">
        <f t="shared" si="6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62"/>
        <v/>
      </c>
      <c r="J77" s="10" t="str">
        <f t="shared" si="6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62"/>
        <v/>
      </c>
      <c r="J78" s="10" t="str">
        <f t="shared" si="6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62"/>
        <v/>
      </c>
      <c r="J79" s="10" t="str">
        <f t="shared" si="6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62"/>
        <v/>
      </c>
      <c r="J80" s="10" t="str">
        <f t="shared" si="6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62"/>
        <v/>
      </c>
      <c r="J81" s="10" t="str">
        <f t="shared" si="6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62"/>
        <v/>
      </c>
      <c r="J82" s="10" t="str">
        <f t="shared" si="6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62"/>
        <v/>
      </c>
      <c r="J83" s="10" t="str">
        <f t="shared" si="6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62"/>
        <v/>
      </c>
      <c r="J84" s="10" t="str">
        <f t="shared" si="6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62"/>
        <v/>
      </c>
      <c r="J85" s="10" t="str">
        <f t="shared" si="6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62"/>
        <v/>
      </c>
      <c r="J86" s="10" t="str">
        <f t="shared" si="6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62"/>
        <v/>
      </c>
      <c r="J87" s="10" t="str">
        <f t="shared" si="6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62"/>
        <v/>
      </c>
      <c r="J88" s="10" t="str">
        <f t="shared" si="6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62"/>
        <v/>
      </c>
      <c r="J89" s="10" t="str">
        <f t="shared" si="6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62"/>
        <v/>
      </c>
      <c r="J90" s="10" t="str">
        <f t="shared" si="6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62"/>
        <v/>
      </c>
      <c r="J91" s="10" t="str">
        <f t="shared" si="6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62"/>
        <v/>
      </c>
      <c r="J92" s="10" t="str">
        <f t="shared" si="6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62"/>
        <v/>
      </c>
      <c r="J93" s="10" t="str">
        <f t="shared" si="6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62"/>
        <v/>
      </c>
      <c r="J94" s="10" t="str">
        <f t="shared" si="6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62"/>
        <v/>
      </c>
      <c r="J95" s="10" t="str">
        <f t="shared" si="6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62"/>
        <v/>
      </c>
      <c r="J96" s="10" t="str">
        <f t="shared" si="6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62"/>
        <v/>
      </c>
      <c r="J97" s="10" t="str">
        <f t="shared" si="6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62"/>
        <v/>
      </c>
      <c r="J98" s="10" t="str">
        <f t="shared" si="6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62"/>
        <v/>
      </c>
      <c r="J99" s="10" t="str">
        <f t="shared" si="6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62"/>
        <v/>
      </c>
      <c r="J100" s="10" t="str">
        <f t="shared" si="6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62"/>
        <v/>
      </c>
      <c r="J101" s="10" t="str">
        <f t="shared" si="6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62"/>
        <v/>
      </c>
      <c r="J102" s="10" t="str">
        <f t="shared" si="6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62"/>
        <v/>
      </c>
      <c r="J103" s="10" t="str">
        <f t="shared" si="6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62"/>
        <v/>
      </c>
      <c r="J104" s="10" t="str">
        <f t="shared" si="6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62"/>
        <v/>
      </c>
      <c r="J105" s="10" t="str">
        <f t="shared" si="6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62"/>
        <v/>
      </c>
      <c r="J106" s="10" t="str">
        <f t="shared" si="6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62"/>
        <v/>
      </c>
      <c r="J107" s="10" t="str">
        <f t="shared" si="6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62"/>
        <v/>
      </c>
      <c r="J108" s="10" t="str">
        <f t="shared" si="6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62"/>
        <v/>
      </c>
      <c r="J109" s="10" t="str">
        <f t="shared" si="6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62"/>
        <v/>
      </c>
      <c r="J110" s="10" t="str">
        <f t="shared" si="6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62"/>
        <v/>
      </c>
      <c r="J111" s="10" t="str">
        <f t="shared" si="6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62"/>
        <v/>
      </c>
      <c r="J112" s="10" t="str">
        <f t="shared" si="6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62"/>
        <v/>
      </c>
      <c r="J113" s="10" t="str">
        <f t="shared" si="6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62"/>
        <v/>
      </c>
      <c r="J114" s="10" t="str">
        <f t="shared" si="6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62"/>
        <v/>
      </c>
      <c r="J115" s="10" t="str">
        <f t="shared" si="6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62"/>
        <v/>
      </c>
      <c r="J116" s="10" t="str">
        <f t="shared" si="6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62"/>
        <v/>
      </c>
      <c r="J117" s="10" t="str">
        <f t="shared" si="6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62"/>
        <v/>
      </c>
      <c r="J118" s="10" t="str">
        <f t="shared" si="6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62"/>
        <v/>
      </c>
      <c r="J119" s="10" t="str">
        <f t="shared" si="6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62"/>
        <v/>
      </c>
      <c r="J120" s="10" t="str">
        <f t="shared" si="6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62"/>
        <v/>
      </c>
      <c r="J121" s="10" t="str">
        <f t="shared" si="6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62"/>
        <v/>
      </c>
      <c r="J122" s="10" t="str">
        <f t="shared" si="6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62"/>
        <v/>
      </c>
      <c r="J123" s="10" t="str">
        <f t="shared" si="6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62"/>
        <v/>
      </c>
      <c r="J124" s="10" t="str">
        <f t="shared" si="6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62"/>
        <v/>
      </c>
      <c r="J125" s="10" t="str">
        <f t="shared" si="6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62"/>
        <v/>
      </c>
      <c r="J126" s="10" t="str">
        <f t="shared" si="6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62"/>
        <v/>
      </c>
      <c r="J127" s="10" t="str">
        <f t="shared" si="6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62"/>
        <v/>
      </c>
      <c r="J128" s="10" t="str">
        <f t="shared" si="6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62"/>
        <v/>
      </c>
      <c r="J129" s="10" t="str">
        <f t="shared" si="6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62"/>
        <v/>
      </c>
      <c r="J130" s="10" t="str">
        <f t="shared" si="6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62"/>
        <v/>
      </c>
      <c r="J131" s="10" t="str">
        <f t="shared" si="6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62"/>
        <v/>
      </c>
      <c r="J132" s="10" t="str">
        <f t="shared" si="6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62"/>
        <v/>
      </c>
      <c r="J133" s="10" t="str">
        <f t="shared" si="6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64">IF(SUM(B134:F134,H134)=0,"",SUM(B134:F134,H134))</f>
        <v/>
      </c>
      <c r="J134" s="10" t="str">
        <f t="shared" ref="J134:J197" si="6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64"/>
        <v/>
      </c>
      <c r="J135" s="10" t="str">
        <f t="shared" si="6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64"/>
        <v/>
      </c>
      <c r="J136" s="10" t="str">
        <f t="shared" si="6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64"/>
        <v/>
      </c>
      <c r="J137" s="10" t="str">
        <f t="shared" si="6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64"/>
        <v/>
      </c>
      <c r="J138" s="10" t="str">
        <f t="shared" si="6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64"/>
        <v/>
      </c>
      <c r="J139" s="10" t="str">
        <f t="shared" si="6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64"/>
        <v/>
      </c>
      <c r="J140" s="10" t="str">
        <f t="shared" si="6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64"/>
        <v/>
      </c>
      <c r="J141" s="10" t="str">
        <f t="shared" si="6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64"/>
        <v/>
      </c>
      <c r="J142" s="10" t="str">
        <f t="shared" si="6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64"/>
        <v/>
      </c>
      <c r="J143" s="10" t="str">
        <f t="shared" si="6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64"/>
        <v/>
      </c>
      <c r="J144" s="10" t="str">
        <f t="shared" si="6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64"/>
        <v/>
      </c>
      <c r="J145" s="10" t="str">
        <f t="shared" si="6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64"/>
        <v/>
      </c>
      <c r="J146" s="10" t="str">
        <f t="shared" si="6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64"/>
        <v/>
      </c>
      <c r="J147" s="10" t="str">
        <f t="shared" si="6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64"/>
        <v/>
      </c>
      <c r="J148" s="10" t="str">
        <f t="shared" si="6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64"/>
        <v/>
      </c>
      <c r="J149" s="10" t="str">
        <f t="shared" si="6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64"/>
        <v/>
      </c>
      <c r="J150" s="10" t="str">
        <f t="shared" si="6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64"/>
        <v/>
      </c>
      <c r="J151" s="10" t="str">
        <f t="shared" si="6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64"/>
        <v/>
      </c>
      <c r="J152" s="10" t="str">
        <f t="shared" si="6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64"/>
        <v/>
      </c>
      <c r="J153" s="10" t="str">
        <f t="shared" si="6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64"/>
        <v/>
      </c>
      <c r="J154" s="10" t="str">
        <f t="shared" si="6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64"/>
        <v/>
      </c>
      <c r="J155" s="10" t="str">
        <f t="shared" si="6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64"/>
        <v/>
      </c>
      <c r="J156" s="10" t="str">
        <f t="shared" si="6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64"/>
        <v/>
      </c>
      <c r="J157" s="10" t="str">
        <f t="shared" si="6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64"/>
        <v/>
      </c>
      <c r="J158" s="10" t="str">
        <f t="shared" si="6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64"/>
        <v/>
      </c>
      <c r="J159" s="10" t="str">
        <f t="shared" si="6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64"/>
        <v/>
      </c>
      <c r="J160" s="10" t="str">
        <f t="shared" si="6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64"/>
        <v/>
      </c>
      <c r="J161" s="10" t="str">
        <f t="shared" si="6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64"/>
        <v/>
      </c>
      <c r="J162" s="10" t="str">
        <f t="shared" si="6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64"/>
        <v/>
      </c>
      <c r="J163" s="10" t="str">
        <f t="shared" si="6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64"/>
        <v/>
      </c>
      <c r="J164" s="10" t="str">
        <f t="shared" si="6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64"/>
        <v/>
      </c>
      <c r="J165" s="10" t="str">
        <f t="shared" si="6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64"/>
        <v/>
      </c>
      <c r="J166" s="10" t="str">
        <f t="shared" si="6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64"/>
        <v/>
      </c>
      <c r="J167" s="10" t="str">
        <f t="shared" si="6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64"/>
        <v/>
      </c>
      <c r="J168" s="10" t="str">
        <f t="shared" si="6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64"/>
        <v/>
      </c>
      <c r="J169" s="10" t="str">
        <f t="shared" si="6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64"/>
        <v/>
      </c>
      <c r="J170" s="10" t="str">
        <f t="shared" si="6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64"/>
        <v/>
      </c>
      <c r="J171" s="10" t="str">
        <f t="shared" si="6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64"/>
        <v/>
      </c>
      <c r="J172" s="10" t="str">
        <f t="shared" si="6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64"/>
        <v/>
      </c>
      <c r="J173" s="10" t="str">
        <f t="shared" si="6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64"/>
        <v/>
      </c>
      <c r="J174" s="10" t="str">
        <f t="shared" si="6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64"/>
        <v/>
      </c>
      <c r="J175" s="10" t="str">
        <f t="shared" si="6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64"/>
        <v/>
      </c>
      <c r="J176" s="10" t="str">
        <f t="shared" si="6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64"/>
        <v/>
      </c>
      <c r="J177" s="10" t="str">
        <f t="shared" si="6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64"/>
        <v/>
      </c>
      <c r="J178" s="10" t="str">
        <f t="shared" si="6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64"/>
        <v/>
      </c>
      <c r="J179" s="10" t="str">
        <f t="shared" si="6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64"/>
        <v/>
      </c>
      <c r="J180" s="10" t="str">
        <f t="shared" si="6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64"/>
        <v/>
      </c>
      <c r="J181" s="10" t="str">
        <f t="shared" si="6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64"/>
        <v/>
      </c>
      <c r="J182" s="10" t="str">
        <f t="shared" si="6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64"/>
        <v/>
      </c>
      <c r="J183" s="10" t="str">
        <f t="shared" si="6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64"/>
        <v/>
      </c>
      <c r="J184" s="10" t="str">
        <f t="shared" si="6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64"/>
        <v/>
      </c>
      <c r="J185" s="10" t="str">
        <f t="shared" si="6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64"/>
        <v/>
      </c>
      <c r="J186" s="10" t="str">
        <f t="shared" si="6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64"/>
        <v/>
      </c>
      <c r="J187" s="10" t="str">
        <f t="shared" si="6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64"/>
        <v/>
      </c>
      <c r="J188" s="10" t="str">
        <f t="shared" si="6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64"/>
        <v/>
      </c>
      <c r="J189" s="10" t="str">
        <f t="shared" si="6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64"/>
        <v/>
      </c>
      <c r="J190" s="10" t="str">
        <f t="shared" si="6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64"/>
        <v/>
      </c>
      <c r="J191" s="10" t="str">
        <f t="shared" si="6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64"/>
        <v/>
      </c>
      <c r="J192" s="10" t="str">
        <f t="shared" si="6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64"/>
        <v/>
      </c>
      <c r="J193" s="10" t="str">
        <f t="shared" si="6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64"/>
        <v/>
      </c>
      <c r="J194" s="10" t="str">
        <f t="shared" si="6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64"/>
        <v/>
      </c>
      <c r="J195" s="10" t="str">
        <f t="shared" si="6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4"/>
        <v/>
      </c>
      <c r="J196" s="10" t="str">
        <f t="shared" si="6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4"/>
        <v/>
      </c>
      <c r="J197" s="10" t="str">
        <f t="shared" si="6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6">IF(SUM(B198:F198,H198)=0,"",SUM(B198:F198,H198))</f>
        <v/>
      </c>
      <c r="J198" s="10" t="str">
        <f t="shared" ref="J198:J261" si="6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6"/>
        <v/>
      </c>
      <c r="J199" s="10" t="str">
        <f t="shared" si="6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6"/>
        <v/>
      </c>
      <c r="J200" s="10" t="str">
        <f t="shared" si="6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6"/>
        <v/>
      </c>
      <c r="J201" s="10" t="str">
        <f t="shared" si="6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6"/>
        <v/>
      </c>
      <c r="J202" s="10" t="str">
        <f t="shared" si="6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6"/>
        <v/>
      </c>
      <c r="J203" s="10" t="str">
        <f t="shared" si="6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6"/>
        <v/>
      </c>
      <c r="J204" s="10" t="str">
        <f t="shared" si="6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6"/>
        <v/>
      </c>
      <c r="J205" s="10" t="str">
        <f t="shared" si="6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6"/>
        <v/>
      </c>
      <c r="J206" s="10" t="str">
        <f t="shared" si="6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6"/>
        <v/>
      </c>
      <c r="J207" s="10" t="str">
        <f t="shared" si="6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6"/>
        <v/>
      </c>
      <c r="J208" s="10" t="str">
        <f t="shared" si="6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6"/>
        <v/>
      </c>
      <c r="J209" s="10" t="str">
        <f t="shared" si="6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6"/>
        <v/>
      </c>
      <c r="J210" s="10" t="str">
        <f t="shared" si="6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6"/>
        <v/>
      </c>
      <c r="J211" s="10" t="str">
        <f t="shared" si="6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6"/>
        <v/>
      </c>
      <c r="J212" s="10" t="str">
        <f t="shared" si="6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6"/>
        <v/>
      </c>
      <c r="J213" s="10" t="str">
        <f t="shared" si="6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6"/>
        <v/>
      </c>
      <c r="J214" s="10" t="str">
        <f t="shared" si="6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6"/>
        <v/>
      </c>
      <c r="J215" s="10" t="str">
        <f t="shared" si="6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6"/>
        <v/>
      </c>
      <c r="J216" s="10" t="str">
        <f t="shared" si="6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6"/>
        <v/>
      </c>
      <c r="J217" s="10" t="str">
        <f t="shared" si="6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6"/>
        <v/>
      </c>
      <c r="J218" s="10" t="str">
        <f t="shared" si="6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6"/>
        <v/>
      </c>
      <c r="J219" s="10" t="str">
        <f t="shared" si="6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6"/>
        <v/>
      </c>
      <c r="J220" s="10" t="str">
        <f t="shared" si="6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6"/>
        <v/>
      </c>
      <c r="J221" s="10" t="str">
        <f t="shared" si="6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6"/>
        <v/>
      </c>
      <c r="J222" s="10" t="str">
        <f t="shared" si="6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6"/>
        <v/>
      </c>
      <c r="J223" s="10" t="str">
        <f t="shared" si="6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6"/>
        <v/>
      </c>
      <c r="J224" s="10" t="str">
        <f t="shared" si="6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6"/>
        <v/>
      </c>
      <c r="J225" s="10" t="str">
        <f t="shared" si="6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6"/>
        <v/>
      </c>
      <c r="J226" s="10" t="str">
        <f t="shared" si="6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6"/>
        <v/>
      </c>
      <c r="J227" s="10" t="str">
        <f t="shared" si="6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6"/>
        <v/>
      </c>
      <c r="J228" s="10" t="str">
        <f t="shared" si="6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6"/>
        <v/>
      </c>
      <c r="J229" s="10" t="str">
        <f t="shared" si="6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6"/>
        <v/>
      </c>
      <c r="J230" s="10" t="str">
        <f t="shared" si="6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6"/>
        <v/>
      </c>
      <c r="J231" s="10" t="str">
        <f t="shared" si="6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6"/>
        <v/>
      </c>
      <c r="J232" s="10" t="str">
        <f t="shared" si="6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6"/>
        <v/>
      </c>
      <c r="J233" s="10" t="str">
        <f t="shared" si="6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6"/>
        <v/>
      </c>
      <c r="J234" s="10" t="str">
        <f t="shared" si="6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6"/>
        <v/>
      </c>
      <c r="J235" s="10" t="str">
        <f t="shared" si="6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6"/>
        <v/>
      </c>
      <c r="J236" s="10" t="str">
        <f t="shared" si="6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6"/>
        <v/>
      </c>
      <c r="J237" s="10" t="str">
        <f t="shared" si="6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6"/>
        <v/>
      </c>
      <c r="J238" s="10" t="str">
        <f t="shared" si="6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6"/>
        <v/>
      </c>
      <c r="J239" s="10" t="str">
        <f t="shared" si="6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6"/>
        <v/>
      </c>
      <c r="J240" s="10" t="str">
        <f t="shared" si="6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6"/>
        <v/>
      </c>
      <c r="J241" s="10" t="str">
        <f t="shared" si="6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6"/>
        <v/>
      </c>
      <c r="J242" s="10" t="str">
        <f t="shared" si="6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6"/>
        <v/>
      </c>
      <c r="J243" s="10" t="str">
        <f t="shared" si="6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6"/>
        <v/>
      </c>
      <c r="J244" s="10" t="str">
        <f t="shared" si="6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6"/>
        <v/>
      </c>
      <c r="J245" s="10" t="str">
        <f t="shared" si="6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6"/>
        <v/>
      </c>
      <c r="J246" s="10" t="str">
        <f t="shared" si="6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6"/>
        <v/>
      </c>
      <c r="J247" s="10" t="str">
        <f t="shared" si="6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6"/>
        <v/>
      </c>
      <c r="J248" s="10" t="str">
        <f t="shared" si="6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6"/>
        <v/>
      </c>
      <c r="J249" s="10" t="str">
        <f t="shared" si="6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6"/>
        <v/>
      </c>
      <c r="J250" s="10" t="str">
        <f t="shared" si="6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6"/>
        <v/>
      </c>
      <c r="J251" s="10" t="str">
        <f t="shared" si="6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6"/>
        <v/>
      </c>
      <c r="J252" s="10" t="str">
        <f t="shared" si="6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6"/>
        <v/>
      </c>
      <c r="J253" s="10" t="str">
        <f t="shared" si="6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6"/>
        <v/>
      </c>
      <c r="J254" s="10" t="str">
        <f t="shared" si="6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6"/>
        <v/>
      </c>
      <c r="J255" s="10" t="str">
        <f t="shared" si="6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6"/>
        <v/>
      </c>
      <c r="J256" s="10" t="str">
        <f t="shared" si="6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6"/>
        <v/>
      </c>
      <c r="J257" s="10" t="str">
        <f t="shared" si="6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6"/>
        <v/>
      </c>
      <c r="J258" s="10" t="str">
        <f t="shared" si="6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6"/>
        <v/>
      </c>
      <c r="J259" s="10" t="str">
        <f t="shared" si="6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6"/>
        <v/>
      </c>
      <c r="J260" s="10" t="str">
        <f t="shared" si="6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6"/>
        <v/>
      </c>
      <c r="J261" s="10" t="str">
        <f t="shared" si="6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68">IF(SUM(B262:F262,H262)=0,"",SUM(B262:F262,H262))</f>
        <v/>
      </c>
      <c r="J262" s="10" t="str">
        <f t="shared" ref="J262:J325" si="6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68"/>
        <v/>
      </c>
      <c r="J263" s="10" t="str">
        <f t="shared" si="6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68"/>
        <v/>
      </c>
      <c r="J264" s="10" t="str">
        <f t="shared" si="6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68"/>
        <v/>
      </c>
      <c r="J265" s="10" t="str">
        <f t="shared" si="6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68"/>
        <v/>
      </c>
      <c r="J266" s="10" t="str">
        <f t="shared" si="6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68"/>
        <v/>
      </c>
      <c r="J267" s="10" t="str">
        <f t="shared" si="6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68"/>
        <v/>
      </c>
      <c r="J268" s="10" t="str">
        <f t="shared" si="6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68"/>
        <v/>
      </c>
      <c r="J269" s="10" t="str">
        <f t="shared" si="6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68"/>
        <v/>
      </c>
      <c r="J270" s="10" t="str">
        <f t="shared" si="6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68"/>
        <v/>
      </c>
      <c r="J271" s="10" t="str">
        <f t="shared" si="6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68"/>
        <v/>
      </c>
      <c r="J272" s="10" t="str">
        <f t="shared" si="6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68"/>
        <v/>
      </c>
      <c r="J273" s="10" t="str">
        <f t="shared" si="6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68"/>
        <v/>
      </c>
      <c r="J274" s="10" t="str">
        <f t="shared" si="6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68"/>
        <v/>
      </c>
      <c r="J275" s="10" t="str">
        <f t="shared" si="6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68"/>
        <v/>
      </c>
      <c r="J276" s="10" t="str">
        <f t="shared" si="6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68"/>
        <v/>
      </c>
      <c r="J277" s="10" t="str">
        <f t="shared" si="6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68"/>
        <v/>
      </c>
      <c r="J278" s="10" t="str">
        <f t="shared" si="6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68"/>
        <v/>
      </c>
      <c r="J279" s="10" t="str">
        <f t="shared" si="6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68"/>
        <v/>
      </c>
      <c r="J280" s="10" t="str">
        <f t="shared" si="6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68"/>
        <v/>
      </c>
      <c r="J281" s="10" t="str">
        <f t="shared" si="6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68"/>
        <v/>
      </c>
      <c r="J282" s="10" t="str">
        <f t="shared" si="6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68"/>
        <v/>
      </c>
      <c r="J283" s="10" t="str">
        <f t="shared" si="6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68"/>
        <v/>
      </c>
      <c r="J284" s="10" t="str">
        <f t="shared" si="6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68"/>
        <v/>
      </c>
      <c r="J285" s="10" t="str">
        <f t="shared" si="6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68"/>
        <v/>
      </c>
      <c r="J286" s="10" t="str">
        <f t="shared" si="6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68"/>
        <v/>
      </c>
      <c r="J287" s="10" t="str">
        <f t="shared" si="6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68"/>
        <v/>
      </c>
      <c r="J288" s="10" t="str">
        <f t="shared" si="6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68"/>
        <v/>
      </c>
      <c r="J289" s="10" t="str">
        <f t="shared" si="6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68"/>
        <v/>
      </c>
      <c r="J290" s="10" t="str">
        <f t="shared" si="6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68"/>
        <v/>
      </c>
      <c r="J291" s="10" t="str">
        <f t="shared" si="6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68"/>
        <v/>
      </c>
      <c r="J292" s="10" t="str">
        <f t="shared" si="6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68"/>
        <v/>
      </c>
      <c r="J293" s="10" t="str">
        <f t="shared" si="6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68"/>
        <v/>
      </c>
      <c r="J294" s="10" t="str">
        <f t="shared" si="6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68"/>
        <v/>
      </c>
      <c r="J295" s="10" t="str">
        <f t="shared" si="6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68"/>
        <v/>
      </c>
      <c r="J296" s="10" t="str">
        <f t="shared" si="6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68"/>
        <v/>
      </c>
      <c r="J297" s="10" t="str">
        <f t="shared" si="6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68"/>
        <v/>
      </c>
      <c r="J298" s="10" t="str">
        <f t="shared" si="6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68"/>
        <v/>
      </c>
      <c r="J299" s="10" t="str">
        <f t="shared" si="6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68"/>
        <v/>
      </c>
      <c r="J300" s="10" t="str">
        <f t="shared" si="6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68"/>
        <v/>
      </c>
      <c r="J301" s="10" t="str">
        <f t="shared" si="6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68"/>
        <v/>
      </c>
      <c r="J302" s="10" t="str">
        <f t="shared" si="6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68"/>
        <v/>
      </c>
      <c r="J303" s="10" t="str">
        <f t="shared" si="6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68"/>
        <v/>
      </c>
      <c r="J304" s="10" t="str">
        <f t="shared" si="6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68"/>
        <v/>
      </c>
      <c r="J305" s="10" t="str">
        <f t="shared" si="6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68"/>
        <v/>
      </c>
      <c r="J306" s="10" t="str">
        <f t="shared" si="6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68"/>
        <v/>
      </c>
      <c r="J307" s="10" t="str">
        <f t="shared" si="6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68"/>
        <v/>
      </c>
      <c r="J308" s="10" t="str">
        <f t="shared" si="6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68"/>
        <v/>
      </c>
      <c r="J309" s="10" t="str">
        <f t="shared" si="6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68"/>
        <v/>
      </c>
      <c r="J310" s="10" t="str">
        <f t="shared" si="6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68"/>
        <v/>
      </c>
      <c r="J311" s="10" t="str">
        <f t="shared" si="6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68"/>
        <v/>
      </c>
      <c r="J312" s="10" t="str">
        <f t="shared" si="6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68"/>
        <v/>
      </c>
      <c r="J313" s="10" t="str">
        <f t="shared" si="6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68"/>
        <v/>
      </c>
      <c r="J314" s="10" t="str">
        <f t="shared" si="6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68"/>
        <v/>
      </c>
      <c r="J315" s="10" t="str">
        <f t="shared" si="6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68"/>
        <v/>
      </c>
      <c r="J316" s="10" t="str">
        <f t="shared" si="6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68"/>
        <v/>
      </c>
      <c r="J317" s="10" t="str">
        <f t="shared" si="6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68"/>
        <v/>
      </c>
      <c r="J318" s="10" t="str">
        <f t="shared" si="6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68"/>
        <v/>
      </c>
      <c r="J319" s="10" t="str">
        <f t="shared" si="6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68"/>
        <v/>
      </c>
      <c r="J320" s="10" t="str">
        <f t="shared" si="6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68"/>
        <v/>
      </c>
      <c r="J321" s="10" t="str">
        <f t="shared" si="6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68"/>
        <v/>
      </c>
      <c r="J322" s="10" t="str">
        <f t="shared" si="6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68"/>
        <v/>
      </c>
      <c r="J323" s="10" t="str">
        <f t="shared" si="6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68"/>
        <v/>
      </c>
      <c r="J324" s="10" t="str">
        <f t="shared" si="6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68"/>
        <v/>
      </c>
      <c r="J325" s="10" t="str">
        <f t="shared" si="6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70">IF(SUM(B326:F326,H326)=0,"",SUM(B326:F326,H326))</f>
        <v/>
      </c>
      <c r="J326" s="10" t="str">
        <f t="shared" ref="J326:J389" si="7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70"/>
        <v/>
      </c>
      <c r="J327" s="10" t="str">
        <f t="shared" si="7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70"/>
        <v/>
      </c>
      <c r="J328" s="10" t="str">
        <f t="shared" si="7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70"/>
        <v/>
      </c>
      <c r="J329" s="10" t="str">
        <f t="shared" si="7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70"/>
        <v/>
      </c>
      <c r="J330" s="10" t="str">
        <f t="shared" si="7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70"/>
        <v/>
      </c>
      <c r="J331" s="10" t="str">
        <f t="shared" si="7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70"/>
        <v/>
      </c>
      <c r="J332" s="10" t="str">
        <f t="shared" si="7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70"/>
        <v/>
      </c>
      <c r="J333" s="10" t="str">
        <f t="shared" si="7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70"/>
        <v/>
      </c>
      <c r="J334" s="10" t="str">
        <f t="shared" si="7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70"/>
        <v/>
      </c>
      <c r="J335" s="10" t="str">
        <f t="shared" si="7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70"/>
        <v/>
      </c>
      <c r="J336" s="10" t="str">
        <f t="shared" si="7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70"/>
        <v/>
      </c>
      <c r="J337" s="10" t="str">
        <f t="shared" si="7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70"/>
        <v/>
      </c>
      <c r="J338" s="10" t="str">
        <f t="shared" si="7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70"/>
        <v/>
      </c>
      <c r="J339" s="10" t="str">
        <f t="shared" si="7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70"/>
        <v/>
      </c>
      <c r="J340" s="10" t="str">
        <f t="shared" si="7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70"/>
        <v/>
      </c>
      <c r="J341" s="10" t="str">
        <f t="shared" si="7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70"/>
        <v/>
      </c>
      <c r="J342" s="10" t="str">
        <f t="shared" si="7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70"/>
        <v/>
      </c>
      <c r="J343" s="10" t="str">
        <f t="shared" si="7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70"/>
        <v/>
      </c>
      <c r="J344" s="10" t="str">
        <f t="shared" si="7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70"/>
        <v/>
      </c>
      <c r="J345" s="10" t="str">
        <f t="shared" si="7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70"/>
        <v/>
      </c>
      <c r="J346" s="10" t="str">
        <f t="shared" si="7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70"/>
        <v/>
      </c>
      <c r="J347" s="10" t="str">
        <f t="shared" si="7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70"/>
        <v/>
      </c>
      <c r="J348" s="10" t="str">
        <f t="shared" si="7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70"/>
        <v/>
      </c>
      <c r="J349" s="10" t="str">
        <f t="shared" si="7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70"/>
        <v/>
      </c>
      <c r="J350" s="10" t="str">
        <f t="shared" si="7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70"/>
        <v/>
      </c>
      <c r="J351" s="10" t="str">
        <f t="shared" si="7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70"/>
        <v/>
      </c>
      <c r="J352" s="10" t="str">
        <f t="shared" si="7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70"/>
        <v/>
      </c>
      <c r="J353" s="10" t="str">
        <f t="shared" si="7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70"/>
        <v/>
      </c>
      <c r="J354" s="10" t="str">
        <f t="shared" si="7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70"/>
        <v/>
      </c>
      <c r="J355" s="10" t="str">
        <f t="shared" si="7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70"/>
        <v/>
      </c>
      <c r="J356" s="10" t="str">
        <f t="shared" si="7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70"/>
        <v/>
      </c>
      <c r="J357" s="10" t="str">
        <f t="shared" si="7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70"/>
        <v/>
      </c>
      <c r="J358" s="10" t="str">
        <f t="shared" si="7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70"/>
        <v/>
      </c>
      <c r="J359" s="10" t="str">
        <f t="shared" si="7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70"/>
        <v/>
      </c>
      <c r="J360" s="10" t="str">
        <f t="shared" si="7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70"/>
        <v/>
      </c>
      <c r="J361" s="10" t="str">
        <f t="shared" si="7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70"/>
        <v/>
      </c>
      <c r="J362" s="10" t="str">
        <f t="shared" si="7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70"/>
        <v/>
      </c>
      <c r="J363" s="10" t="str">
        <f t="shared" si="7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70"/>
        <v/>
      </c>
      <c r="J364" s="10" t="str">
        <f t="shared" si="7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70"/>
        <v/>
      </c>
      <c r="J365" s="10" t="str">
        <f t="shared" si="7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70"/>
        <v/>
      </c>
      <c r="J366" s="10" t="str">
        <f t="shared" si="7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70"/>
        <v/>
      </c>
      <c r="J367" s="10" t="str">
        <f t="shared" si="7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70"/>
        <v/>
      </c>
      <c r="J368" s="10" t="str">
        <f t="shared" si="7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70"/>
        <v/>
      </c>
      <c r="J369" s="10" t="str">
        <f t="shared" si="7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70"/>
        <v/>
      </c>
      <c r="J370" s="10" t="str">
        <f t="shared" si="7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70"/>
        <v/>
      </c>
      <c r="J371" s="10" t="str">
        <f t="shared" si="7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70"/>
        <v/>
      </c>
      <c r="J372" s="10" t="str">
        <f t="shared" si="7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70"/>
        <v/>
      </c>
      <c r="J373" s="10" t="str">
        <f t="shared" si="7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70"/>
        <v/>
      </c>
      <c r="J374" s="10" t="str">
        <f t="shared" si="7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70"/>
        <v/>
      </c>
      <c r="J375" s="10" t="str">
        <f t="shared" si="7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70"/>
        <v/>
      </c>
      <c r="J376" s="10" t="str">
        <f t="shared" si="7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70"/>
        <v/>
      </c>
      <c r="J377" s="10" t="str">
        <f t="shared" si="7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70"/>
        <v/>
      </c>
      <c r="J378" s="10" t="str">
        <f t="shared" si="7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70"/>
        <v/>
      </c>
      <c r="J379" s="10" t="str">
        <f t="shared" si="7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70"/>
        <v/>
      </c>
      <c r="J380" s="10" t="str">
        <f t="shared" si="7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70"/>
        <v/>
      </c>
      <c r="J381" s="10" t="str">
        <f t="shared" si="7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70"/>
        <v/>
      </c>
      <c r="J382" s="10" t="str">
        <f t="shared" si="7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70"/>
        <v/>
      </c>
      <c r="J383" s="10" t="str">
        <f t="shared" si="7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70"/>
        <v/>
      </c>
      <c r="J384" s="10" t="str">
        <f t="shared" si="7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70"/>
        <v/>
      </c>
      <c r="J385" s="10" t="str">
        <f t="shared" si="7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70"/>
        <v/>
      </c>
      <c r="J386" s="10" t="str">
        <f t="shared" si="7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70"/>
        <v/>
      </c>
      <c r="J387" s="10" t="str">
        <f t="shared" si="7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70"/>
        <v/>
      </c>
      <c r="J388" s="10" t="str">
        <f t="shared" si="7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70"/>
        <v/>
      </c>
      <c r="J389" s="10" t="str">
        <f t="shared" si="7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72">IF(SUM(B390:F390,H390)=0,"",SUM(B390:F390,H390))</f>
        <v/>
      </c>
      <c r="J390" s="10" t="str">
        <f t="shared" ref="J390:J401" si="7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72"/>
        <v/>
      </c>
      <c r="J391" s="10" t="str">
        <f t="shared" si="7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72"/>
        <v/>
      </c>
      <c r="J392" s="10" t="str">
        <f t="shared" si="7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72"/>
        <v/>
      </c>
      <c r="J393" s="10" t="str">
        <f t="shared" si="7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72"/>
        <v/>
      </c>
      <c r="J394" s="10" t="str">
        <f t="shared" si="7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72"/>
        <v/>
      </c>
      <c r="J395" s="10" t="str">
        <f t="shared" si="7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72"/>
        <v/>
      </c>
      <c r="J396" s="10" t="str">
        <f t="shared" si="7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72"/>
        <v/>
      </c>
      <c r="J397" s="10" t="str">
        <f t="shared" si="7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72"/>
        <v/>
      </c>
      <c r="J398" s="10" t="str">
        <f t="shared" si="7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72"/>
        <v/>
      </c>
      <c r="J399" s="10" t="str">
        <f t="shared" si="7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72"/>
        <v/>
      </c>
      <c r="J400" s="10" t="str">
        <f t="shared" si="7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72"/>
        <v/>
      </c>
      <c r="J401" s="10" t="str">
        <f t="shared" si="7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2026-09-23T18:30:42Z</dcterms:modified>
  <dc:language>en-US</dc:language>
</cp:coreProperties>
</file>